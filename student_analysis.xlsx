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 Data" sheetId="1" state="visible" r:id="rId3"/>
    <sheet name="Sorted by Average" sheetId="2" state="visible" r:id="rId4"/>
    <sheet name="Department Pivot" sheetId="3" state="visible" r:id="rId5"/>
    <sheet name="Char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<sst xmlns="http://schemas.openxmlformats.org/spreadsheetml/2006/main" count="68" uniqueCount="32">
  <si>
    <t xml:space="preserve">Student Performance Analysis</t>
  </si>
  <si>
    <t xml:space="preserve">Student ID</t>
  </si>
  <si>
    <t xml:space="preserve">Name</t>
  </si>
  <si>
    <t xml:space="preserve">Department</t>
  </si>
  <si>
    <t xml:space="preserve">Math</t>
  </si>
  <si>
    <t xml:space="preserve">Science</t>
  </si>
  <si>
    <t xml:space="preserve">Programming</t>
  </si>
  <si>
    <t xml:space="preserve">Attendance</t>
  </si>
  <si>
    <t xml:space="preserve">Average Marks</t>
  </si>
  <si>
    <t xml:space="preserve">Amit</t>
  </si>
  <si>
    <t xml:space="preserve">CS</t>
  </si>
  <si>
    <t xml:space="preserve">Riya</t>
  </si>
  <si>
    <t xml:space="preserve">Karan</t>
  </si>
  <si>
    <t xml:space="preserve">IT</t>
  </si>
  <si>
    <t xml:space="preserve">Pooja</t>
  </si>
  <si>
    <t xml:space="preserve">Rahul</t>
  </si>
  <si>
    <t xml:space="preserve">* Red = marks below 60 (At-Risk students)</t>
  </si>
  <si>
    <t xml:space="preserve">Students Ranked by Average Marks (Highest to Lowest)</t>
  </si>
  <si>
    <t xml:space="preserve">[1st] Pooja</t>
  </si>
  <si>
    <t xml:space="preserve">[2nd] Amit</t>
  </si>
  <si>
    <t xml:space="preserve">[3rd] Riya</t>
  </si>
  <si>
    <t xml:space="preserve">[4th] Karan</t>
  </si>
  <si>
    <t xml:space="preserve">[5th] Rahul</t>
  </si>
  <si>
    <t xml:space="preserve">Department-wise Performance Pivot Table</t>
  </si>
  <si>
    <t xml:space="preserve">Avg Math</t>
  </si>
  <si>
    <t xml:space="preserve">Avg Science</t>
  </si>
  <si>
    <t xml:space="preserve">Avg Programming</t>
  </si>
  <si>
    <t xml:space="preserve">Overall Average</t>
  </si>
  <si>
    <t xml:space="preserve">Class Average</t>
  </si>
  <si>
    <t xml:space="preserve">Visual Insights – Charts</t>
  </si>
  <si>
    <t xml:space="preserve">Avg Marks</t>
  </si>
  <si>
    <t xml:space="preserve">Student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</si>
</sst>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10"/>
      <color rgb="FF9C000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F81BD"/>
      </patternFill>
    </fill>
    <fill>
      <patternFill patternType="solid">
        <fgColor rgb="FFFFFFFF"/>
        <bgColor rgb="FFF9F9F9"/>
      </patternFill>
    </fill>
    <fill>
      <patternFill patternType="solid">
        <fgColor rgb="FFEBF5FB"/>
        <bgColor rgb="FFF2F2F2"/>
      </patternFill>
    </fill>
    <fill>
      <patternFill patternType="solid">
        <fgColor rgb="FFFFF9C4"/>
        <bgColor rgb="FFFDEBD0"/>
      </patternFill>
    </fill>
    <fill>
      <patternFill patternType="solid">
        <fgColor rgb="FFF2F2F2"/>
        <bgColor rgb="FFEBF5FB"/>
      </patternFill>
    </fill>
    <fill>
      <patternFill patternType="solid">
        <fgColor rgb="FFFCE4D6"/>
        <bgColor rgb="FFFDEBD0"/>
      </patternFill>
    </fill>
    <fill>
      <patternFill patternType="solid">
        <fgColor rgb="FFD6E4F0"/>
        <bgColor rgb="FFD9D9D9"/>
      </patternFill>
    </fill>
    <fill>
      <patternFill patternType="solid">
        <fgColor rgb="FFFDEBD0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9C4"/>
      <rgbColor rgb="FFEBF5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F2F2F2"/>
      <rgbColor rgb="FFFDEBD0"/>
      <rgbColor rgb="FFF9F9F9"/>
      <rgbColor rgb="FFFCE4D6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Student Average Marks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Charts!B3</c:f>
              <c:strCache>
                <c:ptCount val="1"/>
                <c:pt idx="0">
                  <c:v>Avg Marks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Charts!$A$4:$A$8</c:f>
              <c:strCache>
                <c:ptCount val="5"/>
                <c:pt idx="0">
                  <c:v>Pooja</c:v>
                </c:pt>
                <c:pt idx="1">
                  <c:v>Amit</c:v>
                </c:pt>
                <c:pt idx="2">
                  <c:v>Riya</c:v>
                </c:pt>
                <c:pt idx="3">
                  <c:v>Karan</c:v>
                </c:pt>
                <c:pt idx="4">
                  <c:v>Rahul</c:v>
                </c:pt>
              </c:strCache>
            </c:strRef>
          </c:cat>
          <c:val>
            <c:numRef>
              <c:f>Charts!$B$4:$B$8</c:f>
              <c:numCache>
                <c:formatCode>General</c:formatCode>
                <c:ptCount val="5"/>
                <c:pt idx="0">
                  <c:v>92.67</c:v>
                </c:pt>
                <c:pt idx="1">
                  <c:v>84.33</c:v>
                </c:pt>
                <c:pt idx="2">
                  <c:v>84</c:v>
                </c:pt>
                <c:pt idx="3">
                  <c:v>69</c:v>
                </c:pt>
                <c:pt idx="4">
                  <c:v>57.67</c:v>
                </c:pt>
              </c:numCache>
            </c:numRef>
          </c:val>
        </c:ser>
        <c:gapWidth val="150"/>
        <c:overlap val="0"/>
        <c:axId val="80641910"/>
        <c:axId val="28863963"/>
      </c:barChart>
      <c:catAx>
        <c:axId val="8064191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863963"/>
        <c:crosses val="autoZero"/>
        <c:auto val="1"/>
        <c:lblAlgn val="ctr"/>
        <c:lblOffset val="100"/>
        <c:noMultiLvlLbl val="0"/>
      </c:catAx>
      <c:valAx>
        <c:axId val="288639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Student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6419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Department Performance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Charts!E3</c:f>
              <c:strCache>
                <c:ptCount val="1"/>
                <c:pt idx="0">
                  <c:v>Avg Marks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Charts!$D$4:$D$5</c:f>
              <c:strCache>
                <c:ptCount val="2"/>
                <c:pt idx="0">
                  <c:v>IT</c:v>
                </c:pt>
                <c:pt idx="1">
                  <c:v>CS</c:v>
                </c:pt>
              </c:strCache>
            </c:strRef>
          </c:cat>
          <c:val>
            <c:numRef>
              <c:f>Charts!$E$4:$E$5</c:f>
              <c:numCache>
                <c:formatCode>General</c:formatCode>
                <c:ptCount val="2"/>
                <c:pt idx="0">
                  <c:v>80.83</c:v>
                </c:pt>
                <c:pt idx="1">
                  <c:v>75.33</c:v>
                </c:pt>
              </c:numCache>
            </c:numRef>
          </c:val>
        </c:ser>
        <c:gapWidth val="150"/>
        <c:overlap val="0"/>
        <c:axId val="2418127"/>
        <c:axId val="72493981"/>
      </c:barChart>
      <c:catAx>
        <c:axId val="24181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493981"/>
        <c:crosses val="autoZero"/>
        <c:auto val="1"/>
        <c:lblAlgn val="ctr"/>
        <c:lblOffset val="100"/>
        <c:noMultiLvlLbl val="0"/>
      </c:catAx>
      <c:valAx>
        <c:axId val="724939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Average Marks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181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Attendance vs Average Marks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Charts!H3</c:f>
              <c:strCache>
                <c:ptCount val="1"/>
                <c:pt idx="0">
                  <c:v>Attendance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Charts!$G$4:$G$8</c:f>
              <c:strCache>
                <c:ptCount val="5"/>
                <c:pt idx="0">
                  <c:v>Amit</c:v>
                </c:pt>
                <c:pt idx="1">
                  <c:v>Riya</c:v>
                </c:pt>
                <c:pt idx="2">
                  <c:v>Karan</c:v>
                </c:pt>
                <c:pt idx="3">
                  <c:v>Pooja</c:v>
                </c:pt>
                <c:pt idx="4">
                  <c:v>Rahul</c:v>
                </c:pt>
              </c:strCache>
            </c:strRef>
          </c:cat>
          <c:val>
            <c:numRef>
              <c:f>Charts!$H$4:$H$8</c:f>
              <c:numCache>
                <c:formatCode>General</c:formatCode>
                <c:ptCount val="5"/>
                <c:pt idx="0">
                  <c:v>92</c:v>
                </c:pt>
                <c:pt idx="1">
                  <c:v>90</c:v>
                </c:pt>
                <c:pt idx="2">
                  <c:v>80</c:v>
                </c:pt>
                <c:pt idx="3">
                  <c:v>96</c:v>
                </c:pt>
                <c:pt idx="4">
                  <c:v>70</c:v>
                </c:pt>
              </c:numCache>
            </c:numRef>
          </c:val>
        </c:ser>
        <c:ser>
          <c:idx val="1"/>
          <c:order val="1"/>
          <c:tx>
            <c:strRef>
              <c:f>Charts!I3</c:f>
              <c:strCache>
                <c:ptCount val="1"/>
                <c:pt idx="0">
                  <c:v>Avg Marks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Charts!$G$4:$G$8</c:f>
              <c:strCache>
                <c:ptCount val="5"/>
                <c:pt idx="0">
                  <c:v>Amit</c:v>
                </c:pt>
                <c:pt idx="1">
                  <c:v>Riya</c:v>
                </c:pt>
                <c:pt idx="2">
                  <c:v>Karan</c:v>
                </c:pt>
                <c:pt idx="3">
                  <c:v>Pooja</c:v>
                </c:pt>
                <c:pt idx="4">
                  <c:v>Rahul</c:v>
                </c:pt>
              </c:strCache>
            </c:strRef>
          </c:cat>
          <c:val>
            <c:numRef>
              <c:f>Charts!$I$4:$I$8</c:f>
              <c:numCache>
                <c:formatCode>General</c:formatCode>
                <c:ptCount val="5"/>
                <c:pt idx="0">
                  <c:v>84.33</c:v>
                </c:pt>
                <c:pt idx="1">
                  <c:v>84</c:v>
                </c:pt>
                <c:pt idx="2">
                  <c:v>69</c:v>
                </c:pt>
                <c:pt idx="3">
                  <c:v>92.67</c:v>
                </c:pt>
                <c:pt idx="4">
                  <c:v>57.67</c:v>
                </c:pt>
              </c:numCache>
            </c:numRef>
          </c:val>
        </c:ser>
        <c:gapWidth val="150"/>
        <c:overlap val="0"/>
        <c:axId val="35515926"/>
        <c:axId val="70074605"/>
      </c:barChart>
      <c:catAx>
        <c:axId val="355159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Student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074605"/>
        <c:crosses val="autoZero"/>
        <c:auto val="1"/>
        <c:lblAlgn val="ctr"/>
        <c:lblOffset val="100"/>
        <c:noMultiLvlLbl val="0"/>
      </c:catAx>
      <c:valAx>
        <c:axId val="700746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5159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10</xdr:col>
      <xdr:colOff>364680</xdr:colOff>
      <xdr:row>29</xdr:row>
      <xdr:rowOff>128880</xdr:rowOff>
    </xdr:to>
    <xdr:graphicFrame>
      <xdr:nvGraphicFramePr>
        <xdr:cNvPr id="0" name="Chart 1"/>
        <xdr:cNvGraphicFramePr/>
      </xdr:nvGraphicFramePr>
      <xdr:xfrm>
        <a:off x="0" y="157176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7</xdr:row>
      <xdr:rowOff>0</xdr:rowOff>
    </xdr:from>
    <xdr:to>
      <xdr:col>18</xdr:col>
      <xdr:colOff>147600</xdr:colOff>
      <xdr:row>25</xdr:row>
      <xdr:rowOff>170640</xdr:rowOff>
    </xdr:to>
    <xdr:graphicFrame>
      <xdr:nvGraphicFramePr>
        <xdr:cNvPr id="1" name="Chart 2"/>
        <xdr:cNvGraphicFramePr/>
      </xdr:nvGraphicFramePr>
      <xdr:xfrm>
        <a:off x="6114960" y="157176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10</xdr:col>
      <xdr:colOff>364680</xdr:colOff>
      <xdr:row>49</xdr:row>
      <xdr:rowOff>128520</xdr:rowOff>
    </xdr:to>
    <xdr:graphicFrame>
      <xdr:nvGraphicFramePr>
        <xdr:cNvPr id="2" name="Chart 3"/>
        <xdr:cNvGraphicFramePr/>
      </xdr:nvGraphicFramePr>
      <xdr:xfrm>
        <a:off x="0" y="538164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5"/>
    <col collapsed="false" customWidth="true" hidden="false" outlineLevel="0" max="5" min="4" style="0" width="1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5" hidden="false" customHeight="false" outlineLevel="0" collapsed="false">
      <c r="A3" s="3" t="n">
        <v>1</v>
      </c>
      <c r="B3" s="3" t="s">
        <v>9</v>
      </c>
      <c r="C3" s="3" t="s">
        <v>10</v>
      </c>
      <c r="D3" s="3" t="n">
        <v>78</v>
      </c>
      <c r="E3" s="3" t="n">
        <v>85</v>
      </c>
      <c r="F3" s="3" t="n">
        <v>90</v>
      </c>
      <c r="G3" s="3" t="n">
        <v>92</v>
      </c>
      <c r="H3" s="4" t="n">
        <f aca="false">ROUND(AVERAGE(D3:F3),2)</f>
        <v>84.33</v>
      </c>
    </row>
    <row r="4" customFormat="false" ht="15" hidden="false" customHeight="false" outlineLevel="0" collapsed="false">
      <c r="A4" s="5" t="n">
        <v>2</v>
      </c>
      <c r="B4" s="5" t="s">
        <v>11</v>
      </c>
      <c r="C4" s="5" t="s">
        <v>10</v>
      </c>
      <c r="D4" s="5" t="n">
        <v>88</v>
      </c>
      <c r="E4" s="5" t="n">
        <v>79</v>
      </c>
      <c r="F4" s="5" t="n">
        <v>85</v>
      </c>
      <c r="G4" s="5" t="n">
        <v>90</v>
      </c>
      <c r="H4" s="6" t="n">
        <f aca="false">ROUND(AVERAGE(D4:F4),2)</f>
        <v>84</v>
      </c>
    </row>
    <row r="5" customFormat="false" ht="15" hidden="false" customHeight="false" outlineLevel="0" collapsed="false">
      <c r="A5" s="3" t="n">
        <v>3</v>
      </c>
      <c r="B5" s="3" t="s">
        <v>12</v>
      </c>
      <c r="C5" s="3" t="s">
        <v>13</v>
      </c>
      <c r="D5" s="3" t="n">
        <v>65</v>
      </c>
      <c r="E5" s="3" t="n">
        <v>70</v>
      </c>
      <c r="F5" s="3" t="n">
        <v>72</v>
      </c>
      <c r="G5" s="3" t="n">
        <v>80</v>
      </c>
      <c r="H5" s="4" t="n">
        <f aca="false">ROUND(AVERAGE(D5:F5),2)</f>
        <v>69</v>
      </c>
    </row>
    <row r="6" customFormat="false" ht="15" hidden="false" customHeight="false" outlineLevel="0" collapsed="false">
      <c r="A6" s="5" t="n">
        <v>4</v>
      </c>
      <c r="B6" s="5" t="s">
        <v>14</v>
      </c>
      <c r="C6" s="5" t="s">
        <v>13</v>
      </c>
      <c r="D6" s="5" t="n">
        <v>92</v>
      </c>
      <c r="E6" s="5" t="n">
        <v>91</v>
      </c>
      <c r="F6" s="5" t="n">
        <v>95</v>
      </c>
      <c r="G6" s="5" t="n">
        <v>96</v>
      </c>
      <c r="H6" s="6" t="n">
        <f aca="false">ROUND(AVERAGE(D6:F6),2)</f>
        <v>92.67</v>
      </c>
    </row>
    <row r="7" customFormat="false" ht="15" hidden="false" customHeight="false" outlineLevel="0" collapsed="false">
      <c r="A7" s="3" t="n">
        <v>5</v>
      </c>
      <c r="B7" s="3" t="s">
        <v>15</v>
      </c>
      <c r="C7" s="3" t="s">
        <v>10</v>
      </c>
      <c r="D7" s="3" t="n">
        <v>55</v>
      </c>
      <c r="E7" s="3" t="n">
        <v>60</v>
      </c>
      <c r="F7" s="3" t="n">
        <v>58</v>
      </c>
      <c r="G7" s="3" t="n">
        <v>70</v>
      </c>
      <c r="H7" s="4" t="n">
        <f aca="false">ROUND(AVERAGE(D7:F7),2)</f>
        <v>57.67</v>
      </c>
    </row>
    <row r="9" customFormat="false" ht="15" hidden="false" customHeight="false" outlineLevel="0" collapsed="false">
      <c r="A9" s="7" t="s">
        <v>16</v>
      </c>
      <c r="B9" s="7"/>
      <c r="C9" s="7"/>
      <c r="D9" s="7"/>
      <c r="E9" s="7"/>
      <c r="F9" s="7"/>
      <c r="G9" s="7"/>
      <c r="H9" s="7"/>
    </row>
  </sheetData>
  <mergeCells count="2">
    <mergeCell ref="A1:H1"/>
    <mergeCell ref="A9:H9"/>
  </mergeCells>
  <conditionalFormatting sqref="D3:F7">
    <cfRule type="cellIs" priority="2" operator="lessThan" aboveAverage="0" equalAverage="0" bottom="0" percent="0" rank="0" text="" dxfId="0">
      <formula>60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5"/>
    <col collapsed="false" customWidth="true" hidden="false" outlineLevel="0" max="5" min="4" style="0" width="1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33.75" hidden="false" customHeight="true" outlineLevel="0" collapsed="false">
      <c r="A1" s="8" t="s">
        <v>17</v>
      </c>
      <c r="B1" s="8"/>
      <c r="C1" s="8"/>
      <c r="D1" s="8"/>
      <c r="E1" s="8"/>
      <c r="F1" s="8"/>
      <c r="G1" s="8"/>
      <c r="H1" s="8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5" hidden="false" customHeight="false" outlineLevel="0" collapsed="false">
      <c r="A3" s="9" t="n">
        <v>4</v>
      </c>
      <c r="B3" s="9" t="s">
        <v>18</v>
      </c>
      <c r="C3" s="9" t="s">
        <v>13</v>
      </c>
      <c r="D3" s="9" t="n">
        <v>92</v>
      </c>
      <c r="E3" s="9" t="n">
        <v>91</v>
      </c>
      <c r="F3" s="9" t="n">
        <v>95</v>
      </c>
      <c r="G3" s="9" t="n">
        <v>96</v>
      </c>
      <c r="H3" s="10" t="n">
        <f aca="false">'Student Data'!H6</f>
        <v>92.67</v>
      </c>
    </row>
    <row r="4" customFormat="false" ht="15" hidden="false" customHeight="false" outlineLevel="0" collapsed="false">
      <c r="A4" s="11" t="n">
        <v>1</v>
      </c>
      <c r="B4" s="11" t="s">
        <v>19</v>
      </c>
      <c r="C4" s="11" t="s">
        <v>10</v>
      </c>
      <c r="D4" s="11" t="n">
        <v>78</v>
      </c>
      <c r="E4" s="11" t="n">
        <v>85</v>
      </c>
      <c r="F4" s="11" t="n">
        <v>90</v>
      </c>
      <c r="G4" s="11" t="n">
        <v>92</v>
      </c>
      <c r="H4" s="12" t="n">
        <f aca="false">'Student Data'!H3</f>
        <v>84.33</v>
      </c>
    </row>
    <row r="5" customFormat="false" ht="15" hidden="false" customHeight="false" outlineLevel="0" collapsed="false">
      <c r="A5" s="13" t="n">
        <v>2</v>
      </c>
      <c r="B5" s="13" t="s">
        <v>20</v>
      </c>
      <c r="C5" s="13" t="s">
        <v>10</v>
      </c>
      <c r="D5" s="13" t="n">
        <v>88</v>
      </c>
      <c r="E5" s="13" t="n">
        <v>79</v>
      </c>
      <c r="F5" s="13" t="n">
        <v>85</v>
      </c>
      <c r="G5" s="13" t="n">
        <v>90</v>
      </c>
      <c r="H5" s="14" t="n">
        <f aca="false">'Student Data'!H4</f>
        <v>84</v>
      </c>
    </row>
    <row r="6" customFormat="false" ht="15" hidden="false" customHeight="false" outlineLevel="0" collapsed="false">
      <c r="A6" s="5" t="n">
        <v>3</v>
      </c>
      <c r="B6" s="5" t="s">
        <v>21</v>
      </c>
      <c r="C6" s="5" t="s">
        <v>13</v>
      </c>
      <c r="D6" s="5" t="n">
        <v>65</v>
      </c>
      <c r="E6" s="5" t="n">
        <v>70</v>
      </c>
      <c r="F6" s="5" t="n">
        <v>72</v>
      </c>
      <c r="G6" s="5" t="n">
        <v>80</v>
      </c>
      <c r="H6" s="6" t="n">
        <f aca="false">'Student Data'!H5</f>
        <v>69</v>
      </c>
    </row>
    <row r="7" customFormat="false" ht="15" hidden="false" customHeight="false" outlineLevel="0" collapsed="false">
      <c r="A7" s="5" t="n">
        <v>5</v>
      </c>
      <c r="B7" s="5" t="s">
        <v>22</v>
      </c>
      <c r="C7" s="5" t="s">
        <v>10</v>
      </c>
      <c r="D7" s="5" t="n">
        <v>55</v>
      </c>
      <c r="E7" s="5" t="n">
        <v>60</v>
      </c>
      <c r="F7" s="5" t="n">
        <v>58</v>
      </c>
      <c r="G7" s="5" t="n">
        <v>70</v>
      </c>
      <c r="H7" s="6" t="n">
        <f aca="false">'Student Data'!H7</f>
        <v>57.67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33.75" hidden="false" customHeight="true" outlineLevel="0" collapsed="false">
      <c r="A1" s="8" t="s">
        <v>23</v>
      </c>
      <c r="B1" s="8"/>
      <c r="C1" s="8"/>
      <c r="D1" s="8"/>
      <c r="E1" s="8"/>
    </row>
    <row r="2" customFormat="false" ht="15" hidden="false" customHeight="false" outlineLevel="0" collapsed="false">
      <c r="A2" s="15" t="s">
        <v>3</v>
      </c>
      <c r="B2" s="15" t="s">
        <v>24</v>
      </c>
      <c r="C2" s="15" t="s">
        <v>25</v>
      </c>
      <c r="D2" s="15" t="s">
        <v>26</v>
      </c>
      <c r="E2" s="15" t="s">
        <v>27</v>
      </c>
    </row>
    <row r="3" customFormat="false" ht="15" hidden="false" customHeight="false" outlineLevel="0" collapsed="false">
      <c r="A3" s="16" t="s">
        <v>10</v>
      </c>
      <c r="B3" s="17" t="n">
        <f aca="false">AVERAGEIF('Student Data'!C3:C7,"CS",'Student Data'!D3:D7)</f>
        <v>73.6666666666667</v>
      </c>
      <c r="C3" s="17" t="n">
        <f aca="false">AVERAGEIF('Student Data'!C3:C7,"CS",'Student Data'!E3:E7)</f>
        <v>74.6666666666667</v>
      </c>
      <c r="D3" s="17" t="n">
        <f aca="false">AVERAGEIF('Student Data'!C3:C7,"CS",'Student Data'!F3:F7)</f>
        <v>77.6666666666667</v>
      </c>
      <c r="E3" s="18" t="n">
        <f aca="false">ROUND(AVERAGE(B3:D3),2)</f>
        <v>75.33</v>
      </c>
    </row>
    <row r="4" customFormat="false" ht="15" hidden="false" customHeight="false" outlineLevel="0" collapsed="false">
      <c r="A4" s="19" t="s">
        <v>13</v>
      </c>
      <c r="B4" s="20" t="n">
        <f aca="false">AVERAGEIF('Student Data'!C3:C7,"IT",'Student Data'!D3:D7)</f>
        <v>78.5</v>
      </c>
      <c r="C4" s="20" t="n">
        <f aca="false">AVERAGEIF('Student Data'!C3:C7,"IT",'Student Data'!E3:E7)</f>
        <v>80.5</v>
      </c>
      <c r="D4" s="20" t="n">
        <f aca="false">AVERAGEIF('Student Data'!C3:C7,"IT",'Student Data'!F3:F7)</f>
        <v>83.5</v>
      </c>
      <c r="E4" s="21" t="n">
        <f aca="false">ROUND(AVERAGE(B4:D4),2)</f>
        <v>80.83</v>
      </c>
    </row>
    <row r="5" customFormat="false" ht="15" hidden="false" customHeight="false" outlineLevel="0" collapsed="false">
      <c r="A5" s="2" t="s">
        <v>28</v>
      </c>
      <c r="B5" s="22" t="n">
        <f aca="false">ROUND(AVERAGE(B3:B4),2)</f>
        <v>76.08</v>
      </c>
      <c r="C5" s="22" t="n">
        <f aca="false">ROUND(AVERAGE(C3:C4),2)</f>
        <v>77.58</v>
      </c>
      <c r="D5" s="22" t="n">
        <f aca="false">ROUND(AVERAGE(D3:D4),2)</f>
        <v>80.58</v>
      </c>
      <c r="E5" s="22" t="n">
        <f aca="false">ROUND(AVERAGE(E3:E4),2)</f>
        <v>78.08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3.75" hidden="false" customHeight="true" outlineLevel="0" collapsed="false">
      <c r="A1" s="8" t="s">
        <v>29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3" customFormat="false" ht="15" hidden="false" customHeight="false" outlineLevel="0" collapsed="false">
      <c r="A3" s="23" t="s">
        <v>2</v>
      </c>
      <c r="B3" s="23" t="s">
        <v>30</v>
      </c>
      <c r="D3" s="23" t="s">
        <v>3</v>
      </c>
      <c r="E3" s="23" t="s">
        <v>30</v>
      </c>
      <c r="G3" s="23" t="s">
        <v>31</v>
      </c>
      <c r="H3" s="23" t="s">
        <v>7</v>
      </c>
      <c r="I3" s="23" t="s">
        <v>30</v>
      </c>
    </row>
    <row r="4" customFormat="false" ht="15" hidden="false" customHeight="false" outlineLevel="0" collapsed="false">
      <c r="A4" s="0" t="s">
        <v>14</v>
      </c>
      <c r="B4" s="0" t="n">
        <v>92.67</v>
      </c>
      <c r="D4" s="0" t="s">
        <v>13</v>
      </c>
      <c r="E4" s="0" t="n">
        <v>80.83</v>
      </c>
      <c r="G4" s="0" t="s">
        <v>9</v>
      </c>
      <c r="H4" s="0" t="n">
        <v>92</v>
      </c>
      <c r="I4" s="0" t="n">
        <v>84.33</v>
      </c>
    </row>
    <row r="5" customFormat="false" ht="15" hidden="false" customHeight="false" outlineLevel="0" collapsed="false">
      <c r="A5" s="0" t="s">
        <v>9</v>
      </c>
      <c r="B5" s="0" t="n">
        <v>84.33</v>
      </c>
      <c r="D5" s="0" t="s">
        <v>10</v>
      </c>
      <c r="E5" s="0" t="n">
        <v>75.33</v>
      </c>
      <c r="G5" s="0" t="s">
        <v>11</v>
      </c>
      <c r="H5" s="0" t="n">
        <v>90</v>
      </c>
      <c r="I5" s="0" t="n">
        <v>84</v>
      </c>
    </row>
    <row r="6" customFormat="false" ht="15" hidden="false" customHeight="false" outlineLevel="0" collapsed="false">
      <c r="A6" s="0" t="s">
        <v>11</v>
      </c>
      <c r="B6" s="0" t="n">
        <v>84</v>
      </c>
      <c r="G6" s="0" t="s">
        <v>12</v>
      </c>
      <c r="H6" s="0" t="n">
        <v>80</v>
      </c>
      <c r="I6" s="0" t="n">
        <v>69</v>
      </c>
    </row>
    <row r="7" customFormat="false" ht="15" hidden="false" customHeight="false" outlineLevel="0" collapsed="false">
      <c r="A7" s="0" t="s">
        <v>12</v>
      </c>
      <c r="B7" s="0" t="n">
        <v>69</v>
      </c>
      <c r="G7" s="0" t="s">
        <v>14</v>
      </c>
      <c r="H7" s="0" t="n">
        <v>96</v>
      </c>
      <c r="I7" s="0" t="n">
        <v>92.67</v>
      </c>
    </row>
    <row r="8" customFormat="false" ht="15" hidden="false" customHeight="false" outlineLevel="0" collapsed="false">
      <c r="A8" s="0" t="s">
        <v>15</v>
      </c>
      <c r="B8" s="0" t="n">
        <v>57.67</v>
      </c>
      <c r="G8" s="0" t="s">
        <v>15</v>
      </c>
      <c r="H8" s="0" t="n">
        <v>70</v>
      </c>
      <c r="I8" s="0" t="n">
        <v>57.67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2026-04-21T15:11:48Z</dcterms:created>
  <dc:creator>openpyxl</dc:creator>
  <dc:description/>
  <dc:language>en-US</dc:language>
  <cp:lastModifiedBy/>
  <dcterms:modified xsi:type="dcterms:W3CDTF">2026-04-21T15:11:57Z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